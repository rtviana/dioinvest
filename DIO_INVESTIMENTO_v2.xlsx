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viana\Downloads\"/>
    </mc:Choice>
  </mc:AlternateContent>
  <xr:revisionPtr revIDLastSave="0" documentId="13_ncr:1_{F8F19941-2FED-4F7C-B929-5340DC27F031}" xr6:coauthVersionLast="47" xr6:coauthVersionMax="47" xr10:uidLastSave="{00000000-0000-0000-0000-000000000000}"/>
  <bookViews>
    <workbookView xWindow="-120" yWindow="-16320" windowWidth="29040" windowHeight="15720" tabRatio="345" xr2:uid="{00000000-000D-0000-FFFF-FFFF00000000}"/>
  </bookViews>
  <sheets>
    <sheet name="APP" sheetId="1" r:id="rId1"/>
    <sheet name="AUX" sheetId="2" r:id="rId2"/>
  </sheets>
  <definedNames>
    <definedName name="aporte">APP!$D$17</definedName>
    <definedName name="aporte_manual">APP!$I$13</definedName>
    <definedName name="inflacao_anual">APP!$I$14</definedName>
    <definedName name="patrimonio">APP!$D$20</definedName>
    <definedName name="perc_investimento">APP!$I$12</definedName>
    <definedName name="perfil">APP!$C$30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C34" i="1" s="1"/>
  <c r="A13" i="2"/>
  <c r="A12" i="2"/>
  <c r="A11" i="2"/>
  <c r="H10" i="2"/>
  <c r="I10" i="2" s="1"/>
  <c r="A10" i="2"/>
  <c r="H9" i="2"/>
  <c r="I9" i="2" s="1"/>
  <c r="A9" i="2"/>
  <c r="C38" i="1" s="1"/>
  <c r="H8" i="2"/>
  <c r="I8" i="2" s="1"/>
  <c r="A8" i="2"/>
  <c r="A7" i="2"/>
  <c r="A6" i="2"/>
  <c r="A5" i="2"/>
  <c r="A4" i="2"/>
  <c r="C37" i="1" s="1"/>
  <c r="A3" i="2"/>
  <c r="C36" i="1" s="1"/>
  <c r="B28" i="1"/>
  <c r="B27" i="1"/>
  <c r="B26" i="1"/>
  <c r="B25" i="1"/>
  <c r="B24" i="1"/>
  <c r="I18" i="1"/>
  <c r="I17" i="1"/>
  <c r="D14" i="1"/>
  <c r="D17" i="1" s="1"/>
  <c r="B14" i="1"/>
  <c r="C31" i="1" l="1"/>
  <c r="D37" i="1" s="1"/>
  <c r="F24" i="1"/>
  <c r="I19" i="1"/>
  <c r="D20" i="1"/>
  <c r="F25" i="1"/>
  <c r="F26" i="1"/>
  <c r="C24" i="1"/>
  <c r="F28" i="1"/>
  <c r="C26" i="1"/>
  <c r="C27" i="1"/>
  <c r="F27" i="1"/>
  <c r="C25" i="1"/>
  <c r="C28" i="1"/>
  <c r="D36" i="1"/>
  <c r="C39" i="1"/>
  <c r="D39" i="1" s="1"/>
  <c r="H4" i="2"/>
  <c r="C35" i="1"/>
  <c r="D35" i="1" s="1"/>
  <c r="I28" i="1" l="1"/>
  <c r="D28" i="1"/>
  <c r="G28" i="1"/>
  <c r="H28" i="1" s="1"/>
  <c r="G25" i="1"/>
  <c r="H25" i="1"/>
  <c r="D25" i="1"/>
  <c r="I25" i="1"/>
  <c r="I21" i="1"/>
  <c r="D21" i="1"/>
  <c r="I20" i="1"/>
  <c r="I27" i="1"/>
  <c r="G27" i="1"/>
  <c r="H27" i="1" s="1"/>
  <c r="D27" i="1"/>
  <c r="H26" i="1"/>
  <c r="I26" i="1"/>
  <c r="G26" i="1"/>
  <c r="D26" i="1"/>
  <c r="D38" i="1"/>
  <c r="D34" i="1"/>
  <c r="D40" i="1" s="1"/>
  <c r="D24" i="1"/>
  <c r="I24" i="1"/>
  <c r="H24" i="1"/>
  <c r="G24" i="1"/>
  <c r="C40" i="1"/>
  <c r="F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Revisão</author>
  </authors>
  <commentList>
    <comment ref="I1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Percentual do salário sugerido para investir. Alimenta a Sugestão de Investimento (D14).</t>
        </r>
      </text>
    </comment>
    <comment ref="D1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Dividend yield mensal estimado da carteira de FIIs (0,6% a.m. ≈ 7,4% a.a.). Usado só para estimar a renda mensal. Premissa editável: atualize com o DY médio de referência do mercado de FIIs.</t>
        </r>
      </text>
    </comment>
    <comment ref="I1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Deixe em branco para investir a sugestão (D14). Preencha para usar um valor próprio (ex.: 200).</t>
        </r>
      </text>
    </comment>
    <comment ref="I1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Inflação anual estimada, usada para trazer os valores futuros a poder de compra de hoje. Premissa editável: atualize conforme a projeção vigente de IPCA.</t>
        </r>
      </text>
    </comment>
    <comment ref="D17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Calculado: usa o Aporte manual (I13) se preenchido; senão, a Sugestão de Investimento (D14).</t>
        </r>
      </text>
    </comment>
    <comment ref="D19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Retorno TOTAL mensal (dividendos reinvestidos + valorização). 1,079% a.m. ≈ 13,7% a.a. Usado só para projetar o patrimônio. Premissa editável.</t>
        </r>
      </text>
    </comment>
    <comment ref="A24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Prazos dos cenários (editáveis). A linha igual ao prazo escolhido em D18 fica destacada.</t>
        </r>
      </text>
    </comment>
  </commentList>
</comments>
</file>

<file path=xl/sharedStrings.xml><?xml version="1.0" encoding="utf-8"?>
<sst xmlns="http://schemas.openxmlformats.org/spreadsheetml/2006/main" count="94" uniqueCount="55">
  <si>
    <t>CONFIGURAÇÕES</t>
  </si>
  <si>
    <t>PREMISSAS</t>
  </si>
  <si>
    <t>Salário</t>
  </si>
  <si>
    <t>Percentual do salário a investir</t>
  </si>
  <si>
    <t>Rendimento Carteira</t>
  </si>
  <si>
    <t>Aporte manual (opcional)</t>
  </si>
  <si>
    <t>Inflação anual estimada</t>
  </si>
  <si>
    <t>INVESTIMENTO MENSAL</t>
  </si>
  <si>
    <t>ANÁLISE DO PERÍODO</t>
  </si>
  <si>
    <t>Quanto investir por mês ?</t>
  </si>
  <si>
    <t>Rendimento carteira ao ano</t>
  </si>
  <si>
    <t>Por Quantos Anos ?</t>
  </si>
  <si>
    <t>Taxa de rendimento ao ano</t>
  </si>
  <si>
    <t>Taxa de Rendimento mensal ?</t>
  </si>
  <si>
    <t>Total aportado no período</t>
  </si>
  <si>
    <t>Patrimônio acumulado ?</t>
  </si>
  <si>
    <t>Juros acumulados</t>
  </si>
  <si>
    <t>Dividendos Mensais ?</t>
  </si>
  <si>
    <t>Patrimônio em valor de hoje</t>
  </si>
  <si>
    <t>Anos</t>
  </si>
  <si>
    <t xml:space="preserve"> Cenários</t>
  </si>
  <si>
    <t>Dividendo</t>
  </si>
  <si>
    <t>Total aportado</t>
  </si>
  <si>
    <t>Juros</t>
  </si>
  <si>
    <t>% juros</t>
  </si>
  <si>
    <t>Valor de hoje</t>
  </si>
  <si>
    <t>PERFIL -----&gt;</t>
  </si>
  <si>
    <t>Agressivo</t>
  </si>
  <si>
    <t>VALOR A SER INVESTIDO POR MÊS</t>
  </si>
  <si>
    <t>TIPO DE FII</t>
  </si>
  <si>
    <t>Percentual Sugerido</t>
  </si>
  <si>
    <t>Valores</t>
  </si>
  <si>
    <t>VERIFICAÇÃO</t>
  </si>
  <si>
    <t>PAPEL</t>
  </si>
  <si>
    <t>TIJOLO</t>
  </si>
  <si>
    <t>HÍBRIDOS</t>
  </si>
  <si>
    <t>FOFs</t>
  </si>
  <si>
    <t>DESENVOLVIMENTO</t>
  </si>
  <si>
    <t>HOTELARIAS</t>
  </si>
  <si>
    <t>TOTAL</t>
  </si>
  <si>
    <t>NOTAS</t>
  </si>
  <si>
    <t>1. Células em negrito sem preenchimento são entradas; as demais são calculadas.</t>
  </si>
  <si>
    <t>2. Taxa de rendimento mensal (D19) = retorno total, usada para projetar o patrimônio. Rendimento carteira (D13) = dividend yield, usado para estimar a renda.</t>
  </si>
  <si>
    <t>3. Valores futuros são nominais; a coluna "Valor de hoje" desconta a inflação estimada (I14). Não considera IR, taxas ou custos.</t>
  </si>
  <si>
    <t>4. Os percentuais de alocação por perfil ficam na aba AUX e devem somar 100% (conferência em AUX!G8:I10).</t>
  </si>
  <si>
    <t>CHAVE</t>
  </si>
  <si>
    <t>PERFIL</t>
  </si>
  <si>
    <t>%</t>
  </si>
  <si>
    <t>Conservador</t>
  </si>
  <si>
    <t>TESTE DE BUSCA</t>
  </si>
  <si>
    <t>Moderado-TIJOLO</t>
  </si>
  <si>
    <t>CONFERÊNCIA</t>
  </si>
  <si>
    <t>Soma %</t>
  </si>
  <si>
    <t>Status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</si>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</sst>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%"/>
    <numFmt numFmtId="166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0"/>
      <name val="Segoe UI"/>
      <family val="2"/>
    </font>
    <font>
      <b/>
      <sz val="1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/>
      <bottom style="hair">
        <color theme="0" tint="-0.14993743705557422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medium">
        <color indexed="64"/>
      </right>
      <top/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 style="medium">
        <color indexed="64"/>
      </right>
      <top/>
      <bottom style="hair">
        <color theme="0" tint="-0.14993743705557422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0" fontId="2" fillId="2" borderId="0"/>
  </cellStyleXfs>
  <cellXfs count="7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indent="3"/>
    </xf>
    <xf numFmtId="164" fontId="9" fillId="4" borderId="6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8" fillId="4" borderId="8" xfId="0" applyFont="1" applyFill="1" applyBorder="1" applyAlignment="1">
      <alignment horizontal="left" indent="3"/>
    </xf>
    <xf numFmtId="164" fontId="9" fillId="4" borderId="9" xfId="0" applyNumberFormat="1" applyFont="1" applyFill="1" applyBorder="1" applyAlignment="1">
      <alignment horizontal="center"/>
    </xf>
    <xf numFmtId="164" fontId="9" fillId="4" borderId="10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left" indent="3"/>
    </xf>
    <xf numFmtId="164" fontId="9" fillId="4" borderId="12" xfId="0" applyNumberFormat="1" applyFont="1" applyFill="1" applyBorder="1" applyAlignment="1">
      <alignment horizontal="center"/>
    </xf>
    <xf numFmtId="164" fontId="9" fillId="4" borderId="13" xfId="0" applyNumberFormat="1" applyFont="1" applyFill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0" fontId="10" fillId="0" borderId="17" xfId="0" applyNumberFormat="1" applyFont="1" applyBorder="1" applyAlignment="1">
      <alignment horizontal="center"/>
    </xf>
    <xf numFmtId="8" fontId="10" fillId="4" borderId="17" xfId="0" applyNumberFormat="1" applyFont="1" applyFill="1" applyBorder="1" applyAlignment="1">
      <alignment horizontal="center"/>
    </xf>
    <xf numFmtId="8" fontId="10" fillId="4" borderId="19" xfId="0" applyNumberFormat="1" applyFont="1" applyFill="1" applyBorder="1" applyAlignment="1">
      <alignment horizontal="center"/>
    </xf>
    <xf numFmtId="164" fontId="9" fillId="0" borderId="15" xfId="1" applyNumberFormat="1" applyFont="1" applyBorder="1" applyAlignment="1">
      <alignment horizontal="center"/>
    </xf>
    <xf numFmtId="10" fontId="9" fillId="0" borderId="17" xfId="0" applyNumberFormat="1" applyFont="1" applyBorder="1" applyAlignment="1">
      <alignment horizontal="center"/>
    </xf>
    <xf numFmtId="164" fontId="9" fillId="6" borderId="19" xfId="0" applyNumberFormat="1" applyFont="1" applyFill="1" applyBorder="1" applyAlignment="1">
      <alignment horizontal="center"/>
    </xf>
    <xf numFmtId="0" fontId="2" fillId="2" borderId="0" xfId="3"/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13" fillId="2" borderId="0" xfId="3" applyFont="1" applyAlignment="1">
      <alignment horizontal="right"/>
    </xf>
    <xf numFmtId="0" fontId="12" fillId="2" borderId="0" xfId="3" applyFont="1" applyAlignment="1">
      <alignment horizontal="center"/>
    </xf>
    <xf numFmtId="9" fontId="10" fillId="0" borderId="17" xfId="0" applyNumberFormat="1" applyFont="1" applyBorder="1" applyAlignment="1">
      <alignment horizontal="center"/>
    </xf>
    <xf numFmtId="10" fontId="10" fillId="4" borderId="17" xfId="0" applyNumberFormat="1" applyFont="1" applyFill="1" applyBorder="1" applyAlignment="1">
      <alignment horizontal="center"/>
    </xf>
    <xf numFmtId="165" fontId="10" fillId="0" borderId="17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9" fillId="4" borderId="26" xfId="0" applyNumberFormat="1" applyFont="1" applyFill="1" applyBorder="1" applyAlignment="1">
      <alignment horizontal="center"/>
    </xf>
    <xf numFmtId="166" fontId="9" fillId="4" borderId="26" xfId="0" applyNumberFormat="1" applyFont="1" applyFill="1" applyBorder="1" applyAlignment="1">
      <alignment horizontal="center"/>
    </xf>
    <xf numFmtId="164" fontId="9" fillId="4" borderId="27" xfId="0" applyNumberFormat="1" applyFont="1" applyFill="1" applyBorder="1" applyAlignment="1">
      <alignment horizontal="center"/>
    </xf>
    <xf numFmtId="166" fontId="9" fillId="4" borderId="27" xfId="0" applyNumberFormat="1" applyFont="1" applyFill="1" applyBorder="1" applyAlignment="1">
      <alignment horizontal="center"/>
    </xf>
    <xf numFmtId="164" fontId="9" fillId="4" borderId="28" xfId="0" applyNumberFormat="1" applyFont="1" applyFill="1" applyBorder="1" applyAlignment="1">
      <alignment horizontal="center"/>
    </xf>
    <xf numFmtId="166" fontId="9" fillId="4" borderId="28" xfId="0" applyNumberFormat="1" applyFont="1" applyFill="1" applyBorder="1" applyAlignment="1">
      <alignment horizontal="center"/>
    </xf>
    <xf numFmtId="9" fontId="3" fillId="7" borderId="0" xfId="0" applyNumberFormat="1" applyFont="1" applyFill="1" applyAlignment="1">
      <alignment horizontal="center"/>
    </xf>
    <xf numFmtId="0" fontId="15" fillId="0" borderId="0" xfId="0" applyFont="1"/>
    <xf numFmtId="0" fontId="11" fillId="4" borderId="16" xfId="0" applyFont="1" applyFill="1" applyBorder="1" applyAlignment="1">
      <alignment horizontal="left" indent="3"/>
    </xf>
    <xf numFmtId="0" fontId="0" fillId="0" borderId="25" xfId="0" applyBorder="1"/>
    <xf numFmtId="0" fontId="0" fillId="0" borderId="22" xfId="0" applyBorder="1"/>
    <xf numFmtId="0" fontId="5" fillId="5" borderId="20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8" fillId="6" borderId="14" xfId="0" applyFont="1" applyFill="1" applyBorder="1" applyAlignment="1">
      <alignment horizontal="left" indent="3"/>
    </xf>
    <xf numFmtId="0" fontId="0" fillId="0" borderId="24" xfId="0" applyBorder="1"/>
    <xf numFmtId="0" fontId="0" fillId="0" borderId="21" xfId="0" applyBorder="1"/>
    <xf numFmtId="0" fontId="14" fillId="0" borderId="0" xfId="0" applyFont="1" applyAlignment="1">
      <alignment vertical="top" wrapText="1"/>
    </xf>
    <xf numFmtId="0" fontId="0" fillId="0" borderId="0" xfId="0"/>
    <xf numFmtId="0" fontId="8" fillId="6" borderId="16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left" indent="3"/>
    </xf>
    <xf numFmtId="0" fontId="0" fillId="0" borderId="23" xfId="0" applyBorder="1"/>
    <xf numFmtId="0" fontId="6" fillId="3" borderId="1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left" indent="3"/>
    </xf>
    <xf numFmtId="164" fontId="9" fillId="4" borderId="29" xfId="0" applyNumberFormat="1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5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1A-420F-BEFD-4EA8C0DC1F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1A-420F-BEFD-4EA8C0DC1F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1A-420F-BEFD-4EA8C0DC1F1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1A-420F-BEFD-4EA8C0DC1F1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1A-420F-BEFD-4EA8C0DC1F1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01A-420F-BEFD-4EA8C0DC1F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40</xdr:row>
      <xdr:rowOff>97971</xdr:rowOff>
    </xdr:from>
    <xdr:to>
      <xdr:col>3</xdr:col>
      <xdr:colOff>892175</xdr:colOff>
      <xdr:row>53</xdr:row>
      <xdr:rowOff>35832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2527322</xdr:colOff>
      <xdr:row>0</xdr:row>
      <xdr:rowOff>65413</xdr:rowOff>
    </xdr:from>
    <xdr:to>
      <xdr:col>7</xdr:col>
      <xdr:colOff>253845</xdr:colOff>
      <xdr:row>8</xdr:row>
      <xdr:rowOff>87054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9606"/>
        <a:stretch>
          <a:fillRect/>
        </a:stretch>
      </xdr:blipFill>
      <xdr:spPr>
        <a:xfrm>
          <a:off x="2899663" y="65413"/>
          <a:ext cx="5900705" cy="14763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I60"/>
  <sheetViews>
    <sheetView showGridLines="0" tabSelected="1" zoomScale="110" zoomScaleNormal="110" workbookViewId="0">
      <selection activeCell="I3" sqref="I3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" customWidth="1"/>
    <col min="5" max="5" width="3.5546875" customWidth="1"/>
    <col min="6" max="7" width="18" customWidth="1"/>
    <col min="8" max="8" width="12" customWidth="1"/>
    <col min="9" max="9" width="18" customWidth="1"/>
    <col min="10" max="10" width="8.77734375" hidden="1" customWidth="1"/>
    <col min="11" max="16384" width="8.77734375" hidden="1"/>
  </cols>
  <sheetData>
    <row r="10" spans="2:9" ht="15" customHeight="1" thickBot="1" x14ac:dyDescent="0.35"/>
    <row r="11" spans="2:9" ht="27" customHeight="1" x14ac:dyDescent="0.3">
      <c r="B11" s="54" t="s">
        <v>0</v>
      </c>
      <c r="C11" s="55"/>
      <c r="D11" s="56"/>
      <c r="F11" s="63" t="s">
        <v>1</v>
      </c>
      <c r="G11" s="55"/>
      <c r="H11" s="55"/>
      <c r="I11" s="56"/>
    </row>
    <row r="12" spans="2:9" ht="19.2" customHeight="1" x14ac:dyDescent="0.45">
      <c r="B12" s="57" t="s">
        <v>2</v>
      </c>
      <c r="C12" s="59"/>
      <c r="D12" s="19">
        <v>8000</v>
      </c>
      <c r="F12" s="57" t="s">
        <v>3</v>
      </c>
      <c r="G12" s="58"/>
      <c r="H12" s="59"/>
      <c r="I12" s="39">
        <v>0.3</v>
      </c>
    </row>
    <row r="13" spans="2:9" ht="19.2" customHeight="1" x14ac:dyDescent="0.45">
      <c r="B13" s="62" t="s">
        <v>4</v>
      </c>
      <c r="C13" s="53"/>
      <c r="D13" s="20">
        <v>6.0000000000000001E-3</v>
      </c>
      <c r="F13" s="57" t="s">
        <v>5</v>
      </c>
      <c r="G13" s="58"/>
      <c r="H13" s="59"/>
      <c r="I13" s="14"/>
    </row>
    <row r="14" spans="2:9" ht="19.8" customHeight="1" thickBot="1" x14ac:dyDescent="0.5">
      <c r="B14" s="67" t="str">
        <f>"Sugestão de Investimento ("&amp;TEXT(perc_investimento,"0%")&amp;")"</f>
        <v>Sugestão de Investimento (30%)</v>
      </c>
      <c r="C14" s="65"/>
      <c r="D14" s="21">
        <f>salario*perc_investimento</f>
        <v>2400</v>
      </c>
      <c r="F14" s="57" t="s">
        <v>6</v>
      </c>
      <c r="G14" s="58"/>
      <c r="H14" s="59"/>
      <c r="I14" s="16">
        <v>4.4999999999999998E-2</v>
      </c>
    </row>
    <row r="15" spans="2:9" ht="15" customHeight="1" thickBot="1" x14ac:dyDescent="0.35"/>
    <row r="16" spans="2:9" ht="28.5" customHeight="1" x14ac:dyDescent="0.3">
      <c r="B16" s="63" t="s">
        <v>7</v>
      </c>
      <c r="C16" s="55"/>
      <c r="D16" s="56"/>
      <c r="F16" s="63" t="s">
        <v>8</v>
      </c>
      <c r="G16" s="55"/>
      <c r="H16" s="55"/>
      <c r="I16" s="56"/>
    </row>
    <row r="17" spans="1:9" ht="19.2" customHeight="1" x14ac:dyDescent="0.45">
      <c r="B17" s="57" t="s">
        <v>9</v>
      </c>
      <c r="C17" s="59"/>
      <c r="D17" s="14">
        <f>IF(ISBLANK(aporte_manual),sugestao_investimento,aporte_manual)</f>
        <v>2400</v>
      </c>
      <c r="F17" s="57" t="s">
        <v>10</v>
      </c>
      <c r="G17" s="58"/>
      <c r="H17" s="59"/>
      <c r="I17" s="40">
        <f>(1+rendimento_carteira)^12-1</f>
        <v>7.4424167721924617E-2</v>
      </c>
    </row>
    <row r="18" spans="1:9" ht="19.2" customHeight="1" x14ac:dyDescent="0.45">
      <c r="B18" s="62" t="s">
        <v>11</v>
      </c>
      <c r="C18" s="53"/>
      <c r="D18" s="15">
        <v>5</v>
      </c>
      <c r="F18" s="57" t="s">
        <v>12</v>
      </c>
      <c r="G18" s="58"/>
      <c r="H18" s="59"/>
      <c r="I18" s="40">
        <f>(1+taxa_mensal)^12-1</f>
        <v>0.13744718494600527</v>
      </c>
    </row>
    <row r="19" spans="1:9" ht="19.2" customHeight="1" x14ac:dyDescent="0.45">
      <c r="B19" s="62" t="s">
        <v>13</v>
      </c>
      <c r="C19" s="53"/>
      <c r="D19" s="41">
        <v>1.0789999999999999E-2</v>
      </c>
      <c r="F19" s="51" t="s">
        <v>14</v>
      </c>
      <c r="G19" s="52"/>
      <c r="H19" s="53"/>
      <c r="I19" s="17">
        <f>aporte*qtd_anos*12</f>
        <v>144000</v>
      </c>
    </row>
    <row r="20" spans="1:9" ht="19.2" customHeight="1" x14ac:dyDescent="0.45">
      <c r="B20" s="51" t="s">
        <v>15</v>
      </c>
      <c r="C20" s="53"/>
      <c r="D20" s="17">
        <f>IFERROR(FV(taxa_mensal,qtd_anos*12,-aporte),0)</f>
        <v>201064.59359637034</v>
      </c>
      <c r="F20" s="51" t="s">
        <v>16</v>
      </c>
      <c r="G20" s="52"/>
      <c r="H20" s="53"/>
      <c r="I20" s="17">
        <f>patrimonio-I19</f>
        <v>57064.593596370338</v>
      </c>
    </row>
    <row r="21" spans="1:9" ht="19.8" customHeight="1" thickBot="1" x14ac:dyDescent="0.5">
      <c r="B21" s="64" t="s">
        <v>17</v>
      </c>
      <c r="C21" s="65"/>
      <c r="D21" s="18">
        <f>patrimonio*rendimento_carteira</f>
        <v>1206.3875615782219</v>
      </c>
      <c r="F21" s="51" t="s">
        <v>18</v>
      </c>
      <c r="G21" s="52"/>
      <c r="H21" s="53"/>
      <c r="I21" s="17">
        <f>patrimonio/(1+inflacao_anual)^qtd_anos</f>
        <v>161344.49354564212</v>
      </c>
    </row>
    <row r="22" spans="1:9" ht="15" customHeight="1" thickBot="1" x14ac:dyDescent="0.35"/>
    <row r="23" spans="1:9" ht="29.4" customHeight="1" x14ac:dyDescent="0.3">
      <c r="A23" s="4" t="s">
        <v>19</v>
      </c>
      <c r="B23" s="66" t="s">
        <v>20</v>
      </c>
      <c r="C23" s="55"/>
      <c r="D23" s="4" t="s">
        <v>21</v>
      </c>
      <c r="F23" s="4" t="s">
        <v>22</v>
      </c>
      <c r="G23" s="4" t="s">
        <v>23</v>
      </c>
      <c r="H23" s="4" t="s">
        <v>24</v>
      </c>
      <c r="I23" s="4" t="s">
        <v>25</v>
      </c>
    </row>
    <row r="24" spans="1:9" ht="19.2" customHeight="1" x14ac:dyDescent="0.45">
      <c r="A24" s="42">
        <v>2</v>
      </c>
      <c r="B24" s="5" t="str">
        <f>"Quanto em "&amp;A24&amp;" Anos ?"</f>
        <v>Quanto em 2 Anos ?</v>
      </c>
      <c r="C24" s="6">
        <f>IFERROR(FV(taxa_mensal,$A24*12,-aporte),0)</f>
        <v>65346.305514348518</v>
      </c>
      <c r="D24" s="7">
        <f>C24*rendimento_carteira</f>
        <v>392.07783308609112</v>
      </c>
      <c r="F24" s="43">
        <f>aporte*$A24*12</f>
        <v>57600</v>
      </c>
      <c r="G24" s="43">
        <f>C24-F24</f>
        <v>7746.305514348518</v>
      </c>
      <c r="H24" s="44">
        <f>IF(C24=0,0,G24/C24)</f>
        <v>0.1185423636941129</v>
      </c>
      <c r="I24" s="43">
        <f>C24/(1+inflacao_anual)^$A24</f>
        <v>59839.569162197324</v>
      </c>
    </row>
    <row r="25" spans="1:9" ht="19.2" customHeight="1" x14ac:dyDescent="0.45">
      <c r="A25" s="42">
        <v>5</v>
      </c>
      <c r="B25" s="8" t="str">
        <f>"Quanto em "&amp;A25&amp;" Anos ?"</f>
        <v>Quanto em 5 Anos ?</v>
      </c>
      <c r="C25" s="9">
        <f>IFERROR(FV(taxa_mensal,$A25*12,-aporte),0)</f>
        <v>201064.59359637034</v>
      </c>
      <c r="D25" s="10">
        <f>C25*rendimento_carteira</f>
        <v>1206.3875615782219</v>
      </c>
      <c r="F25" s="45">
        <f>aporte*$A25*12</f>
        <v>144000</v>
      </c>
      <c r="G25" s="45">
        <f>C25-F25</f>
        <v>57064.593596370338</v>
      </c>
      <c r="H25" s="46">
        <f>IF(C25=0,0,G25/C25)</f>
        <v>0.28381224449156561</v>
      </c>
      <c r="I25" s="45">
        <f>C25/(1+inflacao_anual)^$A25</f>
        <v>161344.49354564212</v>
      </c>
    </row>
    <row r="26" spans="1:9" ht="19.2" customHeight="1" x14ac:dyDescent="0.45">
      <c r="A26" s="42">
        <v>10</v>
      </c>
      <c r="B26" s="8" t="str">
        <f>"Quanto em "&amp;A26&amp;" Anos ?"</f>
        <v>Quanto em 10 Anos ?</v>
      </c>
      <c r="C26" s="9">
        <f>IFERROR(FV(taxa_mensal,$A26*12,-aporte),0)</f>
        <v>583882.11007241323</v>
      </c>
      <c r="D26" s="10">
        <f>C26*rendimento_carteira</f>
        <v>3503.2926604344793</v>
      </c>
      <c r="F26" s="45">
        <f>aporte*$A26*12</f>
        <v>288000</v>
      </c>
      <c r="G26" s="45">
        <f>C26-F26</f>
        <v>295882.11007241323</v>
      </c>
      <c r="H26" s="46">
        <f>IF(C26=0,0,G26/C26)</f>
        <v>0.50674974445734922</v>
      </c>
      <c r="I26" s="45">
        <f>C26/(1+inflacao_anual)^$A26</f>
        <v>375977.85371773964</v>
      </c>
    </row>
    <row r="27" spans="1:9" ht="19.2" customHeight="1" x14ac:dyDescent="0.45">
      <c r="A27" s="42">
        <v>20</v>
      </c>
      <c r="B27" s="8" t="str">
        <f>"Quanto em "&amp;A27&amp;" Anos ?"</f>
        <v>Quanto em 20 Anos ?</v>
      </c>
      <c r="C27" s="9">
        <f>IFERROR(FV(taxa_mensal,$A27*12,-aporte),0)</f>
        <v>2700476.1602329933</v>
      </c>
      <c r="D27" s="10">
        <f>C27*rendimento_carteira</f>
        <v>16202.85696139796</v>
      </c>
      <c r="F27" s="45">
        <f>aporte*$A27*12</f>
        <v>576000</v>
      </c>
      <c r="G27" s="45">
        <f>C27-F27</f>
        <v>2124476.1602329933</v>
      </c>
      <c r="H27" s="46">
        <f>IF(C27=0,0,G27/C27)</f>
        <v>0.78670428256981784</v>
      </c>
      <c r="I27" s="45">
        <f>C27/(1+inflacao_anual)^$A27</f>
        <v>1119733.1575890547</v>
      </c>
    </row>
    <row r="28" spans="1:9" ht="19.8" customHeight="1" thickBot="1" x14ac:dyDescent="0.5">
      <c r="A28" s="42">
        <v>30</v>
      </c>
      <c r="B28" s="11" t="str">
        <f>"Quanto em "&amp;A28&amp;" Anos ?"</f>
        <v>Quanto em 30 Anos ?</v>
      </c>
      <c r="C28" s="12">
        <f>IFERROR(FV(taxa_mensal,$A28*12,-aporte),0)</f>
        <v>10373207.172011314</v>
      </c>
      <c r="D28" s="13">
        <f>C28*rendimento_carteira</f>
        <v>62239.243032067883</v>
      </c>
      <c r="F28" s="47">
        <f>aporte*$A28*12</f>
        <v>864000</v>
      </c>
      <c r="G28" s="47">
        <f>C28-F28</f>
        <v>9509207.172011314</v>
      </c>
      <c r="H28" s="48">
        <f>IF(C28=0,0,G28/C28)</f>
        <v>0.91670849857012215</v>
      </c>
      <c r="I28" s="47">
        <f>C28/(1+inflacao_anual)^$A28</f>
        <v>2769646.4757843758</v>
      </c>
    </row>
    <row r="30" spans="1:9" x14ac:dyDescent="0.3">
      <c r="B30" s="37" t="s">
        <v>26</v>
      </c>
      <c r="C30" s="38" t="s">
        <v>48</v>
      </c>
      <c r="D30" s="22"/>
    </row>
    <row r="31" spans="1:9" x14ac:dyDescent="0.3">
      <c r="B31" s="23" t="s">
        <v>28</v>
      </c>
      <c r="C31" s="24">
        <f>aporte</f>
        <v>2400</v>
      </c>
      <c r="D31" s="23"/>
    </row>
    <row r="33" spans="2:9" ht="19.2" x14ac:dyDescent="0.3">
      <c r="B33" s="25" t="s">
        <v>29</v>
      </c>
      <c r="C33" s="25" t="s">
        <v>30</v>
      </c>
      <c r="D33" s="25" t="s">
        <v>31</v>
      </c>
      <c r="F33" s="71" t="s">
        <v>32</v>
      </c>
      <c r="G33" s="55"/>
      <c r="H33" s="55"/>
      <c r="I33" s="56"/>
    </row>
    <row r="34" spans="2:9" ht="30" customHeight="1" x14ac:dyDescent="0.3">
      <c r="B34" s="1" t="s">
        <v>33</v>
      </c>
      <c r="C34" s="3">
        <f>IFERROR(VLOOKUP(TRIM(perfil)&amp;"-"&amp;B34,AUX!$A:$D,4,FALSE),0)</f>
        <v>0.3</v>
      </c>
      <c r="D34" s="27">
        <f t="shared" ref="D34:D39" si="0">C34*$C$31</f>
        <v>720</v>
      </c>
      <c r="F34" s="68" t="str">
        <f>IF(COUNTIF(AUX!$B:$B,TRIM(perfil))=0,"ATENÇÃO: perfil inválido",IF(ROUND(C40,4)&lt;&gt;1,"ATENÇÃO: percentuais do perfil somam "&amp;TEXT(C40,"0%"),IF(ROUND(D40-C31,2)&lt;&gt;0,"ATENÇÃO: total difere do aporte","OK: alocação soma 100% do aporte")))</f>
        <v>OK: alocação soma 100% do aporte</v>
      </c>
      <c r="G34" s="69"/>
      <c r="H34" s="69"/>
      <c r="I34" s="70"/>
    </row>
    <row r="35" spans="2:9" x14ac:dyDescent="0.3">
      <c r="B35" s="1" t="s">
        <v>34</v>
      </c>
      <c r="C35" s="3">
        <f>IFERROR(VLOOKUP(TRIM(perfil)&amp;"-"&amp;B35,AUX!$A:$D,4,FALSE),0)</f>
        <v>0.5</v>
      </c>
      <c r="D35" s="27">
        <f t="shared" si="0"/>
        <v>1200</v>
      </c>
    </row>
    <row r="36" spans="2:9" x14ac:dyDescent="0.3">
      <c r="B36" s="1" t="s">
        <v>35</v>
      </c>
      <c r="C36" s="3">
        <f>IFERROR(VLOOKUP(TRIM(perfil)&amp;"-"&amp;B36,AUX!$A:$D,4,FALSE),0)</f>
        <v>0.1</v>
      </c>
      <c r="D36" s="27">
        <f t="shared" si="0"/>
        <v>240</v>
      </c>
    </row>
    <row r="37" spans="2:9" x14ac:dyDescent="0.3">
      <c r="B37" s="1" t="s">
        <v>36</v>
      </c>
      <c r="C37" s="3">
        <f>IFERROR(VLOOKUP(TRIM(perfil)&amp;"-"&amp;B37,AUX!$A:$D,4,FALSE),0)</f>
        <v>0.1</v>
      </c>
      <c r="D37" s="27">
        <f t="shared" si="0"/>
        <v>240</v>
      </c>
    </row>
    <row r="38" spans="2:9" x14ac:dyDescent="0.3">
      <c r="B38" s="1" t="s">
        <v>37</v>
      </c>
      <c r="C38" s="3">
        <f>IFERROR(VLOOKUP(TRIM(perfil)&amp;"-"&amp;B38,AUX!$A:$D,4,FALSE),0)</f>
        <v>0</v>
      </c>
      <c r="D38" s="27">
        <f t="shared" si="0"/>
        <v>0</v>
      </c>
    </row>
    <row r="39" spans="2:9" x14ac:dyDescent="0.3">
      <c r="B39" s="1" t="s">
        <v>38</v>
      </c>
      <c r="C39" s="3">
        <f>IFERROR(VLOOKUP(TRIM(perfil)&amp;"-"&amp;B39,AUX!$A:$D,4,FALSE),0)</f>
        <v>0</v>
      </c>
      <c r="D39" s="27">
        <f t="shared" si="0"/>
        <v>0</v>
      </c>
    </row>
    <row r="40" spans="2:9" x14ac:dyDescent="0.3">
      <c r="B40" s="25" t="s">
        <v>39</v>
      </c>
      <c r="C40" s="49">
        <f>SUM(C34:C39)</f>
        <v>1</v>
      </c>
      <c r="D40" s="26">
        <f>SUM(D34:D39)</f>
        <v>2400</v>
      </c>
    </row>
    <row r="56" spans="2:9" ht="29.4" x14ac:dyDescent="0.3">
      <c r="B56" s="63" t="s">
        <v>40</v>
      </c>
      <c r="C56" s="55"/>
      <c r="D56" s="55"/>
      <c r="E56" s="55"/>
      <c r="F56" s="55"/>
      <c r="G56" s="55"/>
      <c r="H56" s="55"/>
      <c r="I56" s="56"/>
    </row>
    <row r="57" spans="2:9" ht="30" customHeight="1" x14ac:dyDescent="0.3">
      <c r="B57" s="60" t="s">
        <v>41</v>
      </c>
      <c r="C57" s="61"/>
      <c r="D57" s="61"/>
      <c r="E57" s="61"/>
      <c r="F57" s="61"/>
      <c r="G57" s="61"/>
      <c r="H57" s="61"/>
      <c r="I57" s="61"/>
    </row>
    <row r="58" spans="2:9" ht="30" customHeight="1" x14ac:dyDescent="0.3">
      <c r="B58" s="60" t="s">
        <v>42</v>
      </c>
      <c r="C58" s="61"/>
      <c r="D58" s="61"/>
      <c r="E58" s="61"/>
      <c r="F58" s="61"/>
      <c r="G58" s="61"/>
      <c r="H58" s="61"/>
      <c r="I58" s="61"/>
    </row>
    <row r="59" spans="2:9" ht="30" customHeight="1" x14ac:dyDescent="0.3">
      <c r="B59" s="60" t="s">
        <v>43</v>
      </c>
      <c r="C59" s="61"/>
      <c r="D59" s="61"/>
      <c r="E59" s="61"/>
      <c r="F59" s="61"/>
      <c r="G59" s="61"/>
      <c r="H59" s="61"/>
      <c r="I59" s="61"/>
    </row>
    <row r="60" spans="2:9" ht="30" customHeight="1" x14ac:dyDescent="0.3">
      <c r="B60" s="60" t="s">
        <v>44</v>
      </c>
      <c r="C60" s="61"/>
      <c r="D60" s="61"/>
      <c r="E60" s="61"/>
      <c r="F60" s="61"/>
      <c r="G60" s="61"/>
      <c r="H60" s="61"/>
      <c r="I60" s="61"/>
    </row>
  </sheetData>
  <mergeCells count="28">
    <mergeCell ref="B60:I60"/>
    <mergeCell ref="B17:C17"/>
    <mergeCell ref="F34:I34"/>
    <mergeCell ref="B57:I57"/>
    <mergeCell ref="B13:C13"/>
    <mergeCell ref="F14:H14"/>
    <mergeCell ref="B19:C19"/>
    <mergeCell ref="F33:I33"/>
    <mergeCell ref="B16:D16"/>
    <mergeCell ref="F19:H19"/>
    <mergeCell ref="B20:C20"/>
    <mergeCell ref="F21:H21"/>
    <mergeCell ref="F20:H20"/>
    <mergeCell ref="B11:D11"/>
    <mergeCell ref="F18:H18"/>
    <mergeCell ref="B59:I59"/>
    <mergeCell ref="F17:H17"/>
    <mergeCell ref="B18:C18"/>
    <mergeCell ref="B12:C12"/>
    <mergeCell ref="B56:I56"/>
    <mergeCell ref="B58:I58"/>
    <mergeCell ref="B21:C21"/>
    <mergeCell ref="F13:H13"/>
    <mergeCell ref="F11:I11"/>
    <mergeCell ref="B23:C23"/>
    <mergeCell ref="B14:C14"/>
    <mergeCell ref="F16:I16"/>
    <mergeCell ref="F12:H12"/>
  </mergeCells>
  <conditionalFormatting sqref="B24:D28">
    <cfRule type="expression" dxfId="4" priority="1">
      <formula>$A24=qtd_anos</formula>
    </cfRule>
  </conditionalFormatting>
  <conditionalFormatting sqref="F34">
    <cfRule type="expression" dxfId="3" priority="3">
      <formula>LEFT($F$34,2)="OK"</formula>
    </cfRule>
    <cfRule type="expression" dxfId="2" priority="4">
      <formula>LEFT($F$34,2)&lt;&gt;"OK"</formula>
    </cfRule>
  </conditionalFormatting>
  <conditionalFormatting sqref="F24:I28">
    <cfRule type="expression" dxfId="1" priority="2">
      <formula>$A24=qtd_anos</formula>
    </cfRule>
  </conditionalFormatting>
  <dataValidations count="5">
    <dataValidation type="list" showErrorMessage="1" errorTitle="Perfil inválido" error="Escolha Conservador, Moderado ou Agressivo." sqref="C30" xr:uid="{00000000-0002-0000-0000-000000000000}">
      <formula1>"Conservador,Moderado,Agressivo"</formula1>
    </dataValidation>
    <dataValidation type="whole" allowBlank="1" showErrorMessage="1" error="Informe de 1 a 60 anos." sqref="D18 A24:A28" xr:uid="{00000000-0002-0000-0000-000001000000}">
      <formula1>1</formula1>
      <formula2>60</formula2>
    </dataValidation>
    <dataValidation type="decimal" allowBlank="1" showErrorMessage="1" error="Informe uma taxa mensal entre 0% e 10%." sqref="D13 D19" xr:uid="{00000000-0002-0000-0000-000002000000}">
      <formula1>0</formula1>
      <formula2>0.1</formula2>
    </dataValidation>
    <dataValidation type="decimal" allowBlank="1" showErrorMessage="1" error="Informe um percentual entre 0% e 100%." sqref="I12 I14" xr:uid="{00000000-0002-0000-0000-000003000000}">
      <formula1>0</formula1>
      <formula2>1</formula2>
    </dataValidation>
    <dataValidation type="decimal" operator="greaterThanOrEqual" allowBlank="1" showErrorMessage="1" error="Informe um valor maior ou igual a zero." sqref="D12 I13" xr:uid="{00000000-0002-0000-0000-000004000000}">
      <formula1>0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  <col min="9" max="9" width="14" customWidth="1"/>
  </cols>
  <sheetData>
    <row r="2" spans="1:9" x14ac:dyDescent="0.3">
      <c r="A2" s="35" t="s">
        <v>45</v>
      </c>
      <c r="B2" s="35" t="s">
        <v>46</v>
      </c>
      <c r="C2" s="36" t="s">
        <v>29</v>
      </c>
      <c r="D2" s="36" t="s">
        <v>47</v>
      </c>
    </row>
    <row r="3" spans="1:9" x14ac:dyDescent="0.3">
      <c r="A3" t="str">
        <f t="shared" ref="A3:A20" si="0">B3&amp;"-"&amp;C3</f>
        <v>Conservador-PAPEL</v>
      </c>
      <c r="B3" t="s">
        <v>48</v>
      </c>
      <c r="C3" s="1" t="s">
        <v>33</v>
      </c>
      <c r="D3" s="3">
        <v>0.3</v>
      </c>
      <c r="G3" s="50" t="s">
        <v>49</v>
      </c>
      <c r="H3" t="s">
        <v>47</v>
      </c>
    </row>
    <row r="4" spans="1:9" x14ac:dyDescent="0.3">
      <c r="A4" t="str">
        <f t="shared" si="0"/>
        <v>Conservador-TIJOLO</v>
      </c>
      <c r="B4" t="s">
        <v>48</v>
      </c>
      <c r="C4" s="1" t="s">
        <v>34</v>
      </c>
      <c r="D4" s="3">
        <v>0.5</v>
      </c>
      <c r="G4" s="22" t="s">
        <v>50</v>
      </c>
      <c r="H4" s="34">
        <f>VLOOKUP(G4,$A:$D,4,FALSE)</f>
        <v>0.35</v>
      </c>
    </row>
    <row r="5" spans="1:9" x14ac:dyDescent="0.3">
      <c r="A5" t="str">
        <f t="shared" si="0"/>
        <v>Conservador-HÍBRIDOS</v>
      </c>
      <c r="B5" t="s">
        <v>48</v>
      </c>
      <c r="C5" s="1" t="s">
        <v>35</v>
      </c>
      <c r="D5" s="3">
        <v>0.1</v>
      </c>
    </row>
    <row r="6" spans="1:9" x14ac:dyDescent="0.3">
      <c r="A6" t="str">
        <f t="shared" si="0"/>
        <v>Conservador-FOFs</v>
      </c>
      <c r="B6" t="s">
        <v>48</v>
      </c>
      <c r="C6" s="1" t="s">
        <v>36</v>
      </c>
      <c r="D6" s="3">
        <v>0.1</v>
      </c>
    </row>
    <row r="7" spans="1:9" x14ac:dyDescent="0.3">
      <c r="A7" t="str">
        <f t="shared" si="0"/>
        <v>Conservador-DESENVOLVIMENTO</v>
      </c>
      <c r="B7" t="s">
        <v>48</v>
      </c>
      <c r="C7" s="1" t="s">
        <v>37</v>
      </c>
      <c r="D7" s="3">
        <v>0</v>
      </c>
      <c r="G7" s="50" t="s">
        <v>51</v>
      </c>
      <c r="H7" s="50" t="s">
        <v>52</v>
      </c>
      <c r="I7" s="50" t="s">
        <v>53</v>
      </c>
    </row>
    <row r="8" spans="1:9" ht="15" customHeight="1" thickBot="1" x14ac:dyDescent="0.35">
      <c r="A8" s="28" t="str">
        <f t="shared" si="0"/>
        <v>Conservador-HOTELARIAS</v>
      </c>
      <c r="B8" s="28" t="s">
        <v>48</v>
      </c>
      <c r="C8" s="29" t="s">
        <v>38</v>
      </c>
      <c r="D8" s="30">
        <v>0</v>
      </c>
      <c r="G8" t="s">
        <v>48</v>
      </c>
      <c r="H8" s="2">
        <f>SUMIF($B:$B,G8,$D:$D)</f>
        <v>1</v>
      </c>
      <c r="I8" t="str">
        <f>IF(ROUND(H8,4)=1,"OK","Ajustar")</f>
        <v>OK</v>
      </c>
    </row>
    <row r="9" spans="1:9" x14ac:dyDescent="0.3">
      <c r="A9" t="str">
        <f t="shared" si="0"/>
        <v>Moderado-PAPEL</v>
      </c>
      <c r="B9" t="s">
        <v>54</v>
      </c>
      <c r="C9" s="1" t="s">
        <v>33</v>
      </c>
      <c r="D9" s="3">
        <v>0.32</v>
      </c>
      <c r="G9" t="s">
        <v>54</v>
      </c>
      <c r="H9" s="2">
        <f>SUMIF($B:$B,G9,$D:$D)</f>
        <v>0.99999999999999989</v>
      </c>
      <c r="I9" t="str">
        <f>IF(ROUND(H9,4)=1,"OK","Ajustar")</f>
        <v>OK</v>
      </c>
    </row>
    <row r="10" spans="1:9" x14ac:dyDescent="0.3">
      <c r="A10" s="31" t="str">
        <f t="shared" si="0"/>
        <v>Moderado-TIJOLO</v>
      </c>
      <c r="B10" s="31" t="s">
        <v>54</v>
      </c>
      <c r="C10" s="32" t="s">
        <v>34</v>
      </c>
      <c r="D10" s="33">
        <v>0.35</v>
      </c>
      <c r="G10" t="s">
        <v>27</v>
      </c>
      <c r="H10" s="2">
        <f>SUMIF($B:$B,G10,$D:$D)</f>
        <v>1.0000000000000002</v>
      </c>
      <c r="I10" t="str">
        <f>IF(ROUND(H10,4)=1,"OK","Ajustar")</f>
        <v>OK</v>
      </c>
    </row>
    <row r="11" spans="1:9" x14ac:dyDescent="0.3">
      <c r="A11" t="str">
        <f t="shared" si="0"/>
        <v>Moderado-HÍBRIDOS</v>
      </c>
      <c r="B11" t="s">
        <v>54</v>
      </c>
      <c r="C11" s="1" t="s">
        <v>35</v>
      </c>
      <c r="D11" s="3">
        <v>0.08</v>
      </c>
    </row>
    <row r="12" spans="1:9" x14ac:dyDescent="0.3">
      <c r="A12" t="str">
        <f t="shared" si="0"/>
        <v>Moderado-FOFs</v>
      </c>
      <c r="B12" t="s">
        <v>54</v>
      </c>
      <c r="C12" s="1" t="s">
        <v>36</v>
      </c>
      <c r="D12" s="3">
        <v>0.05</v>
      </c>
    </row>
    <row r="13" spans="1:9" x14ac:dyDescent="0.3">
      <c r="A13" t="str">
        <f t="shared" si="0"/>
        <v>Moderado-DESENVOLVIMENTO</v>
      </c>
      <c r="B13" t="s">
        <v>54</v>
      </c>
      <c r="C13" s="1" t="s">
        <v>37</v>
      </c>
      <c r="D13" s="3">
        <v>0.1</v>
      </c>
    </row>
    <row r="14" spans="1:9" ht="15" customHeight="1" thickBot="1" x14ac:dyDescent="0.35">
      <c r="A14" s="28" t="str">
        <f t="shared" si="0"/>
        <v>Moderado-HOTELARIAS</v>
      </c>
      <c r="B14" s="28" t="s">
        <v>54</v>
      </c>
      <c r="C14" s="29" t="s">
        <v>38</v>
      </c>
      <c r="D14" s="30">
        <v>0.1</v>
      </c>
    </row>
    <row r="15" spans="1:9" x14ac:dyDescent="0.3">
      <c r="A15" t="str">
        <f t="shared" si="0"/>
        <v>Agressivo-PAPEL</v>
      </c>
      <c r="B15" t="s">
        <v>27</v>
      </c>
      <c r="C15" s="1" t="s">
        <v>33</v>
      </c>
      <c r="D15" s="3">
        <v>0.5</v>
      </c>
    </row>
    <row r="16" spans="1:9" x14ac:dyDescent="0.3">
      <c r="A16" t="str">
        <f t="shared" si="0"/>
        <v>Agressivo-TIJOLO</v>
      </c>
      <c r="B16" t="s">
        <v>27</v>
      </c>
      <c r="C16" s="1" t="s">
        <v>34</v>
      </c>
      <c r="D16" s="3">
        <v>0.1</v>
      </c>
    </row>
    <row r="17" spans="1:4" x14ac:dyDescent="0.3">
      <c r="A17" t="str">
        <f t="shared" si="0"/>
        <v>Agressivo-HÍBRIDOS</v>
      </c>
      <c r="B17" t="s">
        <v>27</v>
      </c>
      <c r="C17" s="1" t="s">
        <v>35</v>
      </c>
      <c r="D17" s="3">
        <v>0.05</v>
      </c>
    </row>
    <row r="18" spans="1:4" x14ac:dyDescent="0.3">
      <c r="A18" t="str">
        <f t="shared" si="0"/>
        <v>Agressivo-FOFs</v>
      </c>
      <c r="B18" t="s">
        <v>27</v>
      </c>
      <c r="C18" s="1" t="s">
        <v>36</v>
      </c>
      <c r="D18" s="3">
        <v>0.05</v>
      </c>
    </row>
    <row r="19" spans="1:4" x14ac:dyDescent="0.3">
      <c r="A19" t="str">
        <f t="shared" si="0"/>
        <v>Agressivo-DESENVOLVIMENTO</v>
      </c>
      <c r="B19" t="s">
        <v>27</v>
      </c>
      <c r="C19" s="1" t="s">
        <v>37</v>
      </c>
      <c r="D19" s="3">
        <v>0.2</v>
      </c>
    </row>
    <row r="20" spans="1:4" x14ac:dyDescent="0.3">
      <c r="A20" t="str">
        <f t="shared" si="0"/>
        <v>Agressivo-HOTELARIAS</v>
      </c>
      <c r="B20" t="s">
        <v>27</v>
      </c>
      <c r="C20" s="1" t="s">
        <v>38</v>
      </c>
      <c r="D20" s="3">
        <v>0.1</v>
      </c>
    </row>
    <row r="21" spans="1:4" x14ac:dyDescent="0.3">
      <c r="D21" s="1"/>
    </row>
  </sheetData>
  <conditionalFormatting sqref="I8:I10">
    <cfRule type="expression" dxfId="0" priority="1">
      <formula>I8&lt;&gt;"OK"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APP</vt:lpstr>
      <vt:lpstr>AUX</vt:lpstr>
      <vt:lpstr>aporte</vt:lpstr>
      <vt:lpstr>aporte_manual</vt:lpstr>
      <vt:lpstr>inflacao_anual</vt:lpstr>
      <vt:lpstr>patrimonio</vt:lpstr>
      <vt:lpstr>perc_investimento</vt:lpstr>
      <vt:lpstr>perfil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Renan Teixeira Viana</cp:lastModifiedBy>
  <dcterms:created xsi:type="dcterms:W3CDTF">2025-04-16T18:38:03Z</dcterms:created>
  <dcterms:modified xsi:type="dcterms:W3CDTF">2026-09-29T02:49:47Z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